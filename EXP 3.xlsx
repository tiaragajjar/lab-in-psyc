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<sst xmlns="http://schemas.openxmlformats.org/spreadsheetml/2006/main" count="35" uniqueCount="18">
  <si>
    <t>key_resp.corr</t>
  </si>
  <si>
    <t>key_resp.rt</t>
  </si>
  <si>
    <t>key_resp.duration</t>
  </si>
  <si>
    <t>tilt</t>
  </si>
  <si>
    <t>key_resp.keys</t>
  </si>
  <si>
    <t>hit</t>
  </si>
  <si>
    <t>miss</t>
  </si>
  <si>
    <t>fa</t>
  </si>
  <si>
    <t>cr</t>
  </si>
  <si>
    <t>None</t>
  </si>
  <si>
    <t>up</t>
  </si>
  <si>
    <t>down</t>
  </si>
  <si>
    <t>prop hit = hit/ hit+miss</t>
  </si>
  <si>
    <t xml:space="preserve">prop fa = fa/ fa+corr rejection </t>
  </si>
  <si>
    <t>dprime = z(prop hit)-z(propfa)</t>
  </si>
  <si>
    <t>c= -z(prophit) + z (prop fa)/2</t>
  </si>
  <si>
    <t>no</t>
  </si>
  <si>
    <t xml:space="preserve">conservative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</si>
</sst>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Helvetica Neue"/>
    </font>
    <font>
      <b/>
      <color rgb="FF000000"/>
      <name val="Helvetica Neue"/>
    </font>
    <font>
      <color theme="1"/>
      <name val="Arial"/>
      <scheme val="minor"/>
    </font>
    <font>
      <color theme="1"/>
      <name val="Helvetica Neue"/>
    </font>
    <font>
      <color rgb="FF000000"/>
      <name val="Helvetica Neue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0" fillId="0" fontId="6" numFmtId="0" xfId="0" applyFont="1"/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>
      <c r="A2" s="4">
        <v>1.0</v>
      </c>
      <c r="B2" s="4">
        <v>0.642758624002454</v>
      </c>
      <c r="C2" s="5" t="s">
        <v>9</v>
      </c>
      <c r="D2" s="4">
        <v>0.0</v>
      </c>
      <c r="E2" s="6" t="s">
        <v>10</v>
      </c>
      <c r="G2" s="3">
        <v>1.0</v>
      </c>
    </row>
    <row r="3">
      <c r="A3" s="4">
        <v>1.0</v>
      </c>
      <c r="B3" s="4">
        <v>0.510762000005343</v>
      </c>
      <c r="C3" s="5" t="s">
        <v>9</v>
      </c>
      <c r="D3" s="4">
        <v>-3.0</v>
      </c>
      <c r="E3" s="6" t="s">
        <v>11</v>
      </c>
      <c r="J3" s="3">
        <v>1.0</v>
      </c>
    </row>
    <row r="4">
      <c r="A4" s="4">
        <v>1.0</v>
      </c>
      <c r="B4" s="4">
        <v>0.709790708002402</v>
      </c>
      <c r="C4" s="5" t="s">
        <v>9</v>
      </c>
      <c r="D4" s="4">
        <v>0.0</v>
      </c>
      <c r="E4" s="6" t="s">
        <v>10</v>
      </c>
      <c r="G4" s="3">
        <v>1.0</v>
      </c>
    </row>
    <row r="5">
      <c r="A5" s="4">
        <v>1.0</v>
      </c>
      <c r="B5" s="4">
        <v>0.806706875009695</v>
      </c>
      <c r="C5" s="5" t="s">
        <v>9</v>
      </c>
      <c r="D5" s="4">
        <v>1.0</v>
      </c>
      <c r="E5" s="6" t="s">
        <v>11</v>
      </c>
      <c r="I5" s="3">
        <v>1.0</v>
      </c>
    </row>
    <row r="6">
      <c r="A6" s="4">
        <v>1.0</v>
      </c>
      <c r="B6" s="4">
        <v>0.790285790993949</v>
      </c>
      <c r="C6" s="5" t="s">
        <v>9</v>
      </c>
      <c r="D6" s="4">
        <v>0.0</v>
      </c>
      <c r="E6" s="6" t="s">
        <v>10</v>
      </c>
      <c r="G6" s="3">
        <v>1.0</v>
      </c>
    </row>
    <row r="7">
      <c r="A7" s="4">
        <v>1.0</v>
      </c>
      <c r="B7" s="4">
        <v>0.627104082988808</v>
      </c>
      <c r="C7" s="5" t="s">
        <v>9</v>
      </c>
      <c r="D7" s="4">
        <v>0.0</v>
      </c>
      <c r="E7" s="6" t="s">
        <v>10</v>
      </c>
      <c r="G7" s="3">
        <v>1.0</v>
      </c>
    </row>
    <row r="8">
      <c r="A8" s="4">
        <v>1.0</v>
      </c>
      <c r="B8" s="4">
        <v>0.654733792005573</v>
      </c>
      <c r="C8" s="5" t="s">
        <v>9</v>
      </c>
      <c r="D8" s="4">
        <v>3.0</v>
      </c>
      <c r="E8" s="6" t="s">
        <v>11</v>
      </c>
      <c r="I8" s="3">
        <v>1.0</v>
      </c>
    </row>
    <row r="9">
      <c r="A9" s="4">
        <v>1.0</v>
      </c>
      <c r="B9" s="4">
        <v>0.728432957999758</v>
      </c>
      <c r="C9" s="5" t="s">
        <v>9</v>
      </c>
      <c r="D9" s="4">
        <v>0.0</v>
      </c>
      <c r="E9" s="6" t="s">
        <v>10</v>
      </c>
      <c r="G9" s="3">
        <v>1.0</v>
      </c>
    </row>
    <row r="10">
      <c r="A10" s="4">
        <v>0.0</v>
      </c>
      <c r="B10" s="4">
        <v>0.66432366699155</v>
      </c>
      <c r="C10" s="5" t="s">
        <v>9</v>
      </c>
      <c r="D10" s="4">
        <v>0.0</v>
      </c>
      <c r="E10" s="6" t="s">
        <v>10</v>
      </c>
      <c r="H10" s="3">
        <v>1.0</v>
      </c>
    </row>
    <row r="11">
      <c r="A11" s="4">
        <v>1.0</v>
      </c>
      <c r="B11" s="4">
        <v>0.693381623990717</v>
      </c>
      <c r="C11" s="5" t="s">
        <v>9</v>
      </c>
      <c r="D11" s="4">
        <v>0.0</v>
      </c>
      <c r="E11" s="6" t="s">
        <v>10</v>
      </c>
      <c r="G11" s="3">
        <v>1.0</v>
      </c>
    </row>
    <row r="12">
      <c r="G12" s="7">
        <f>SUM(G2:G11)</f>
        <v>6</v>
      </c>
      <c r="H12" s="7">
        <f>SUM(H10)</f>
        <v>1</v>
      </c>
      <c r="I12" s="7">
        <f t="shared" ref="I12:J12" si="1">SUM(I2:I11)</f>
        <v>2</v>
      </c>
      <c r="J12" s="7">
        <f t="shared" si="1"/>
        <v>1</v>
      </c>
    </row>
    <row r="16">
      <c r="D16" s="3" t="s">
        <v>12</v>
      </c>
      <c r="F16" s="7">
        <f>6/7</f>
        <v>0.8571428571</v>
      </c>
    </row>
    <row r="17">
      <c r="D17" s="3" t="s">
        <v>13</v>
      </c>
      <c r="F17" s="7">
        <f>2/3</f>
        <v>0.6666666667</v>
      </c>
    </row>
    <row r="18">
      <c r="F18" s="7"/>
    </row>
    <row r="19">
      <c r="D19" s="3" t="s">
        <v>14</v>
      </c>
      <c r="F19" s="7">
        <f>NORMSINV(F16) - NORMSINV(F17)</f>
        <v>0.6368432256</v>
      </c>
    </row>
    <row r="20">
      <c r="D20" s="3" t="s">
        <v>15</v>
      </c>
      <c r="F20" s="7">
        <f>F19/2</f>
        <v>0.3184216128</v>
      </c>
    </row>
    <row r="21">
      <c r="F21" s="8" t="s">
        <v>16</v>
      </c>
    </row>
    <row r="22">
      <c r="F22" s="8" t="s">
        <v>17</v>
      </c>
    </row>
  </sheetData>
  <drawing r:id="rId1"/>
</worksheet>
</file>